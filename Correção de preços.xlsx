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stoc\Desktop\"/>
    </mc:Choice>
  </mc:AlternateContent>
  <xr:revisionPtr revIDLastSave="0" documentId="8_{CD38D4ED-0A40-401D-89DB-33FBEC3D03DD}" xr6:coauthVersionLast="47" xr6:coauthVersionMax="47" xr10:uidLastSave="{00000000-0000-0000-0000-000000000000}"/>
  <bookViews>
    <workbookView xWindow="-120" yWindow="-120" windowWidth="20730" windowHeight="11040" activeTab="1" xr2:uid="{1322966B-8464-4E62-9BF7-006342121810}"/>
  </bookViews>
  <sheets>
    <sheet name="Calculo" sheetId="1" r:id="rId1"/>
    <sheet name="Analise Prec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2" i="2"/>
  <c r="K7" i="1" a="1"/>
  <c r="K7" i="1"/>
  <c r="F3" i="1" a="1"/>
  <c r="F3" i="1" s="1"/>
  <c r="H3" i="1" s="1"/>
  <c r="I3" i="1" s="1"/>
  <c r="F4" i="1" a="1"/>
  <c r="F4" i="1"/>
  <c r="F5" i="1" a="1"/>
  <c r="F5" i="1"/>
  <c r="F6" i="1" a="1"/>
  <c r="F6" i="1"/>
  <c r="F7" i="1" a="1"/>
  <c r="F7" i="1" s="1"/>
  <c r="H7" i="1" s="1"/>
  <c r="I7" i="1" s="1"/>
  <c r="F8" i="1" a="1"/>
  <c r="F8" i="1"/>
  <c r="F9" i="1" a="1"/>
  <c r="F9" i="1" s="1"/>
  <c r="H9" i="1" s="1"/>
  <c r="I9" i="1" s="1"/>
  <c r="F10" i="1" a="1"/>
  <c r="F10" i="1"/>
  <c r="F11" i="1" a="1"/>
  <c r="F11" i="1"/>
  <c r="F12" i="1" a="1"/>
  <c r="F12" i="1"/>
  <c r="J2" i="1"/>
  <c r="I2" i="1"/>
  <c r="I4" i="1"/>
  <c r="I5" i="1"/>
  <c r="I6" i="1"/>
  <c r="H4" i="1"/>
  <c r="H5" i="1"/>
  <c r="H6" i="1"/>
  <c r="H8" i="1"/>
  <c r="I8" i="1" s="1"/>
  <c r="D12" i="1"/>
  <c r="E12" i="1"/>
  <c r="D11" i="1"/>
  <c r="E11" i="1"/>
  <c r="E10" i="1"/>
  <c r="D10" i="1"/>
  <c r="D9" i="1"/>
  <c r="E9" i="1"/>
  <c r="K9" i="1" s="1" a="1"/>
  <c r="K9" i="1" s="1"/>
  <c r="D8" i="1"/>
  <c r="E8" i="1"/>
  <c r="D7" i="1"/>
  <c r="E7" i="1"/>
  <c r="D6" i="1"/>
  <c r="E6" i="1"/>
  <c r="D5" i="1"/>
  <c r="E5" i="1"/>
  <c r="K5" i="1" s="1" a="1"/>
  <c r="K5" i="1" s="1"/>
  <c r="D4" i="1"/>
  <c r="E4" i="1"/>
  <c r="D3" i="1"/>
  <c r="E3" i="1"/>
  <c r="E2" i="1"/>
  <c r="K2" i="1" s="1" a="1"/>
  <c r="K2" i="1" s="1"/>
  <c r="F2" i="1" s="1" a="1"/>
  <c r="F2" i="1" s="1"/>
  <c r="G2" i="1" s="1"/>
  <c r="D2" i="1"/>
  <c r="G5" i="1" l="1"/>
  <c r="J5" i="1" s="1"/>
  <c r="H2" i="1"/>
  <c r="G9" i="1"/>
  <c r="J9" i="1" s="1"/>
  <c r="K3" i="1" a="1"/>
  <c r="K3" i="1" s="1"/>
  <c r="K10" i="1" a="1"/>
  <c r="K10" i="1" s="1"/>
  <c r="K8" i="1" a="1"/>
  <c r="K8" i="1" s="1"/>
  <c r="G8" i="1" s="1"/>
  <c r="J8" i="1" s="1"/>
  <c r="K4" i="1" a="1"/>
  <c r="K4" i="1" s="1"/>
  <c r="G4" i="1" s="1"/>
  <c r="J4" i="1" s="1"/>
  <c r="K6" i="1" a="1"/>
  <c r="K6" i="1" s="1"/>
  <c r="G6" i="1" s="1"/>
  <c r="J6" i="1" s="1"/>
  <c r="K12" i="1" a="1"/>
  <c r="K12" i="1" s="1"/>
  <c r="K11" i="1" a="1"/>
  <c r="K11" i="1" s="1"/>
  <c r="G7" i="1"/>
  <c r="J7" i="1" s="1"/>
  <c r="H11" i="1" l="1"/>
  <c r="I11" i="1" s="1"/>
  <c r="G3" i="1"/>
  <c r="J3" i="1" s="1"/>
  <c r="G10" i="1" l="1"/>
  <c r="J10" i="1" s="1"/>
  <c r="H10" i="1"/>
  <c r="I10" i="1" s="1"/>
  <c r="G12" i="1"/>
  <c r="J12" i="1" s="1"/>
  <c r="H12" i="1"/>
  <c r="I12" i="1" s="1"/>
  <c r="G11" i="1"/>
  <c r="J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<sst xmlns="http://schemas.openxmlformats.org/spreadsheetml/2006/main" count="55" uniqueCount="25">
  <si>
    <t xml:space="preserve">Produto </t>
  </si>
  <si>
    <t xml:space="preserve">Custo </t>
  </si>
  <si>
    <t>Venda</t>
  </si>
  <si>
    <t>Margem R$</t>
  </si>
  <si>
    <t>Margem %</t>
  </si>
  <si>
    <t>Bolo Fuba Tam P Cobertura</t>
  </si>
  <si>
    <t>Bolo Choconinho Tam G</t>
  </si>
  <si>
    <t>Bolo Amora Tam G</t>
  </si>
  <si>
    <t>Bolo Cenoura Tam P</t>
  </si>
  <si>
    <t>Bolo Chocolate S/ Cobertura</t>
  </si>
  <si>
    <t>Bolo Fuba Tam G S/ Cobertura</t>
  </si>
  <si>
    <t>Bolo Fuba Tam G C/ Cobertura</t>
  </si>
  <si>
    <t>Bolo piscininha de cenoura C/ brigadeiro</t>
  </si>
  <si>
    <t>Cookie de Nutella</t>
  </si>
  <si>
    <t>Cookie ao Leite</t>
  </si>
  <si>
    <t>Status Margem</t>
  </si>
  <si>
    <t>Mini bolo piscininha + 8 Brigadeiros</t>
  </si>
  <si>
    <t>Preço Novo</t>
  </si>
  <si>
    <t>Margem Nova %</t>
  </si>
  <si>
    <t>Verde</t>
  </si>
  <si>
    <t>Vermelho</t>
  </si>
  <si>
    <t>Amarelo</t>
  </si>
  <si>
    <t xml:space="preserve">Margem R$ Nova </t>
  </si>
  <si>
    <t>Variação Margem %</t>
  </si>
  <si>
    <t>Variação Margem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</si>
</sst>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Alignment="1">
      <alignment horizontal="left"/>
    </xf>
    <xf numFmtId="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8" fontId="0" fillId="0" borderId="0" xfId="0" applyNumberFormat="1" applyAlignment="1"/>
    <xf numFmtId="8" fontId="0" fillId="0" borderId="0" xfId="0" applyNumberFormat="1" applyAlignment="1">
      <alignment horizontal="left"/>
    </xf>
    <xf numFmtId="10" fontId="0" fillId="0" borderId="0" xfId="0" applyNumberFormat="1" applyAlignment="1">
      <alignment horizontal="center"/>
    </xf>
    <xf numFmtId="10" fontId="0" fillId="2" borderId="0" xfId="0" applyNumberFormat="1" applyFill="1" applyAlignment="1">
      <alignment horizontal="center"/>
    </xf>
    <xf numFmtId="8" fontId="0" fillId="2" borderId="0" xfId="0" applyNumberFormat="1" applyFill="1" applyAlignment="1">
      <alignment horizontal="center"/>
    </xf>
  </cellXfs>
  <cellStyles count="1">
    <cellStyle name="Normal" xfId="0" builtinId="0"/>
  </cellStyles>
  <dxfs count="22"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lef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numFmt numFmtId="12" formatCode="&quot;R$&quot;\ #,##0.00;[Red]\-&quot;R$&quot;\ 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DCFC2-4A06-4BFB-8991-2779BF9CF2D6}" name="Tabela1" displayName="Tabela1" ref="A1:K12" totalsRowShown="0">
  <autoFilter ref="A1:K12" xr:uid="{A47DCFC2-4A06-4BFB-8991-2779BF9CF2D6}"/>
  <tableColumns count="11">
    <tableColumn id="1" xr3:uid="{21453A35-9E10-4186-8C97-B271191EADF8}" name="Produto " dataDxfId="21"/>
    <tableColumn id="2" xr3:uid="{6C537F3E-8830-4026-80E3-DD232E38A8AA}" name="Custo " dataDxfId="20"/>
    <tableColumn id="3" xr3:uid="{67347D61-80F4-402B-84BA-7BFCB3424558}" name="Venda" dataDxfId="19"/>
    <tableColumn id="4" xr3:uid="{28ADCC5F-48A4-438E-97CD-52E88D56CF52}" name="Margem R$" dataDxfId="18">
      <calculatedColumnFormula>C2-B2</calculatedColumnFormula>
    </tableColumn>
    <tableColumn id="5" xr3:uid="{E859EBEB-2A84-4D2F-A306-AC524C2FB9D2}" name="Margem %" dataDxfId="17">
      <calculatedColumnFormula>(C2-B2)/C2</calculatedColumnFormula>
    </tableColumn>
    <tableColumn id="6" xr3:uid="{69D98D1E-FA94-4F45-85A4-93C9FF451AA6}" name="Preço Novo" dataDxfId="16">
      <calculatedColumnFormula array="1">_xlfn.IFS(K2 = "Vermelho", B2/(1-0.6), K2 = "Amarelo", B2/(1-0.7), TRUE, C2)</calculatedColumnFormula>
    </tableColumn>
    <tableColumn id="8" xr3:uid="{01AAF401-5270-48C8-92AD-C5A8C8E17365}" name="Margem Nova %" dataDxfId="12">
      <calculatedColumnFormula>(F2-B2)/F2</calculatedColumnFormula>
    </tableColumn>
    <tableColumn id="9" xr3:uid="{EEB9FAEB-289C-4C1C-993F-829FE10FBE3E}" name="Margem R$ Nova " dataDxfId="11">
      <calculatedColumnFormula>F2-B2</calculatedColumnFormula>
    </tableColumn>
    <tableColumn id="11" xr3:uid="{E07D3DB9-4E1B-47A8-99F1-DBB2FEB913F6}" name="Variação Margem %" dataDxfId="10">
      <calculatedColumnFormula>(H2-D2)/D2</calculatedColumnFormula>
    </tableColumn>
    <tableColumn id="10" xr3:uid="{330C6D5A-147A-4525-8A00-108D47B446C6}" name="Variação Margem R$" dataDxfId="8">
      <calculatedColumnFormula>(G2-E2)/E2</calculatedColumnFormula>
    </tableColumn>
    <tableColumn id="7" xr3:uid="{099C8C7C-EF23-4F34-AB1F-CFBD113B0275}" name="Status Margem" dataDxfId="9">
      <calculatedColumnFormula array="1">_xlfn.IFS(E2&lt;0.4,"Vermelho",E2&lt;0.6,"Amarelo",TRUE,"Verde")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3B3C2-6C82-4199-9A79-18EB1E1CFB6D}" name="Tabela2" displayName="Tabela2" ref="A1:K12" totalsRowShown="0" headerRowDxfId="7">
  <tableColumns count="11">
    <tableColumn id="1" xr3:uid="{DF6D5F82-3F7A-43B8-8112-8AE14E0728C7}" name="Produto "/>
    <tableColumn id="2" xr3:uid="{2CFEF0E2-8EAB-4F3E-9763-CA32F973377D}" name="Custo " dataDxfId="15"/>
    <tableColumn id="3" xr3:uid="{C847B0FA-6E18-4141-99AA-CE340DE8E982}" name="Venda" dataDxfId="14"/>
    <tableColumn id="4" xr3:uid="{D7DCF84E-3FD5-48D9-837F-A2EB8F709635}" name="Margem R$" dataDxfId="13"/>
    <tableColumn id="5" xr3:uid="{B430B5C1-03C0-4139-90B8-DA79CF4550EC}" name="Margem %" dataDxfId="5"/>
    <tableColumn id="8" xr3:uid="{4A8B73CB-EDD4-45B7-9040-96362435FDE0}" name="Preço Novo" dataDxfId="3"/>
    <tableColumn id="6" xr3:uid="{95C20C7E-3386-42B4-86DC-362DDCF1C77E}" name="Margem Nova %" dataDxfId="4"/>
    <tableColumn id="7" xr3:uid="{7AE64EB1-B071-436E-AC3B-5626E6B53E90}" name="Margem R$ Nova " dataDxfId="6"/>
    <tableColumn id="9" xr3:uid="{6B3030E0-7486-46F0-A1A3-BEA78E51FA60}" name="Variação Margem %" dataDxfId="2"/>
    <tableColumn id="10" xr3:uid="{CCD25835-4F97-4A3C-97CE-A8B2CE1FE31D}" name="Variação Margem R$" dataDxfId="0">
      <calculatedColumnFormula>(H2-D2)</calculatedColumnFormula>
    </tableColumn>
    <tableColumn id="11" xr3:uid="{B9978E3E-2373-4D3F-AE85-1E33DC9B7AA1}" name="Status Margem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8957-7934-4BFB-BB23-0DE8931F7CFC}">
  <dimension ref="A1:K17"/>
  <sheetViews>
    <sheetView showGridLines="0" zoomScale="85" zoomScaleNormal="85" workbookViewId="0">
      <selection activeCell="G19" sqref="G19"/>
    </sheetView>
  </sheetViews>
  <sheetFormatPr defaultRowHeight="15" x14ac:dyDescent="0.25"/>
  <cols>
    <col min="1" max="1" width="37.7109375" bestFit="1" customWidth="1"/>
    <col min="2" max="4" width="18.28515625" customWidth="1"/>
    <col min="5" max="5" width="10.140625" bestFit="1" customWidth="1"/>
    <col min="6" max="6" width="18.28515625" customWidth="1"/>
    <col min="7" max="7" width="22.28515625" customWidth="1"/>
    <col min="8" max="8" width="19.7109375" customWidth="1"/>
    <col min="9" max="10" width="22.28515625" style="1" customWidth="1"/>
    <col min="11" max="11" width="20.42578125" customWidth="1"/>
  </cols>
  <sheetData>
    <row r="1" spans="1:11" x14ac:dyDescent="0.25">
      <c r="A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7" t="s">
        <v>17</v>
      </c>
      <c r="G1" s="7" t="s">
        <v>18</v>
      </c>
      <c r="H1" s="7" t="s">
        <v>22</v>
      </c>
      <c r="I1" s="1" t="s">
        <v>23</v>
      </c>
      <c r="J1" s="1" t="s">
        <v>24</v>
      </c>
      <c r="K1" t="s">
        <v>15</v>
      </c>
    </row>
    <row r="2" spans="1:11" x14ac:dyDescent="0.25">
      <c r="A2" s="5" t="s">
        <v>5</v>
      </c>
      <c r="B2" s="6">
        <v>4.63</v>
      </c>
      <c r="C2" s="6">
        <v>19</v>
      </c>
      <c r="D2" s="3">
        <f t="shared" ref="D2" si="0">C2-B2</f>
        <v>14.370000000000001</v>
      </c>
      <c r="E2" s="2">
        <f>(C2-B2)/C2</f>
        <v>0.75631578947368427</v>
      </c>
      <c r="F2" s="6" cm="1">
        <f t="array" ref="F2">_xlfn.IFS(K2 = "Vermelho", B2/(1-0.6), K2 = "Amarelo", B2/(1-0.7), TRUE, C2)</f>
        <v>19</v>
      </c>
      <c r="G2" s="10">
        <f t="shared" ref="G2:G12" si="1">(F2-B2)/F2</f>
        <v>0.75631578947368427</v>
      </c>
      <c r="H2" s="6">
        <f t="shared" ref="H2:H12" si="2">F2-B2</f>
        <v>14.370000000000001</v>
      </c>
      <c r="I2" s="10">
        <f t="shared" ref="I2:I12" si="3">(H2-D2)/D2</f>
        <v>0</v>
      </c>
      <c r="J2" s="10">
        <f t="shared" ref="J2:J12" si="4">(G2-E2)/E2</f>
        <v>0</v>
      </c>
      <c r="K2" s="9" t="str" cm="1">
        <f t="array" ref="K2">_xlfn.IFS(E2&lt;0.4,"Vermelho",E2&lt;0.6,"Amarelo",TRUE,"Verde")</f>
        <v>Verde</v>
      </c>
    </row>
    <row r="3" spans="1:11" x14ac:dyDescent="0.25">
      <c r="A3" s="5" t="s">
        <v>6</v>
      </c>
      <c r="B3" s="6">
        <v>29.45</v>
      </c>
      <c r="C3" s="6">
        <v>40</v>
      </c>
      <c r="D3" s="3">
        <f>C3-B3</f>
        <v>10.55</v>
      </c>
      <c r="E3" s="2">
        <f>(C3-B3)/C3</f>
        <v>0.26375000000000004</v>
      </c>
      <c r="F3" s="6" cm="1">
        <f t="array" ref="F3">_xlfn.IFS(K3 = "Vermelho", B3/(1-0.6), K3 = "Amarelo", B3/(1-0.7), TRUE, C3)</f>
        <v>73.625</v>
      </c>
      <c r="G3" s="10">
        <f t="shared" si="1"/>
        <v>0.6</v>
      </c>
      <c r="H3" s="6">
        <f t="shared" si="2"/>
        <v>44.174999999999997</v>
      </c>
      <c r="I3" s="10">
        <f t="shared" si="3"/>
        <v>3.187203791469194</v>
      </c>
      <c r="J3" s="10">
        <f t="shared" si="4"/>
        <v>1.2748815165876772</v>
      </c>
      <c r="K3" s="9" t="str" cm="1">
        <f t="array" ref="K3">_xlfn.IFS(E3&lt;0.4,"Vermelho",E3&lt;0.6,"Amarelo",TRUE,"Verde")</f>
        <v>Vermelho</v>
      </c>
    </row>
    <row r="4" spans="1:11" x14ac:dyDescent="0.25">
      <c r="A4" s="5" t="s">
        <v>7</v>
      </c>
      <c r="B4" s="6">
        <v>19.53</v>
      </c>
      <c r="C4" s="6">
        <v>45</v>
      </c>
      <c r="D4" s="3">
        <f>C4-B4</f>
        <v>25.47</v>
      </c>
      <c r="E4" s="2">
        <f>(C4-B4)/C4</f>
        <v>0.56599999999999995</v>
      </c>
      <c r="F4" s="6" cm="1">
        <f t="array" ref="F4">_xlfn.IFS(K4 = "Vermelho", B4/(1-0.6), K4 = "Amarelo", B4/(1-0.7), TRUE, C4)</f>
        <v>65.099999999999994</v>
      </c>
      <c r="G4" s="10">
        <f t="shared" si="1"/>
        <v>0.7</v>
      </c>
      <c r="H4" s="6">
        <f t="shared" si="2"/>
        <v>45.569999999999993</v>
      </c>
      <c r="I4" s="10">
        <f t="shared" si="3"/>
        <v>0.78916372202591267</v>
      </c>
      <c r="J4" s="10">
        <f t="shared" si="4"/>
        <v>0.2367491166077739</v>
      </c>
      <c r="K4" s="9" t="str" cm="1">
        <f t="array" ref="K4">_xlfn.IFS(E4&lt;0.4,"Vermelho",E4&lt;0.6,"Amarelo",TRUE,"Verde")</f>
        <v>Amarelo</v>
      </c>
    </row>
    <row r="5" spans="1:11" s="2" customFormat="1" x14ac:dyDescent="0.25">
      <c r="A5" s="5" t="s">
        <v>8</v>
      </c>
      <c r="B5" s="6">
        <v>15.16</v>
      </c>
      <c r="C5" s="6">
        <v>29.9</v>
      </c>
      <c r="D5" s="3">
        <f>C5-B5</f>
        <v>14.739999999999998</v>
      </c>
      <c r="E5" s="2">
        <f>(C5-B5)/C5</f>
        <v>0.49297658862876254</v>
      </c>
      <c r="F5" s="6" cm="1">
        <f t="array" ref="F5">_xlfn.IFS(K5 = "Vermelho", B5/(1-0.6), K5 = "Amarelo", B5/(1-0.7), TRUE, C5)</f>
        <v>50.533333333333324</v>
      </c>
      <c r="G5" s="10">
        <f t="shared" si="1"/>
        <v>0.69999999999999984</v>
      </c>
      <c r="H5" s="6">
        <f t="shared" si="2"/>
        <v>35.373333333333321</v>
      </c>
      <c r="I5" s="10">
        <f t="shared" si="3"/>
        <v>1.3998190863862499</v>
      </c>
      <c r="J5" s="10">
        <f t="shared" si="4"/>
        <v>0.41994572591587487</v>
      </c>
      <c r="K5" s="9" t="str" cm="1">
        <f t="array" ref="K5">_xlfn.IFS(E5&lt;0.4,"Vermelho",E5&lt;0.6,"Amarelo",TRUE,"Verde")</f>
        <v>Amarelo</v>
      </c>
    </row>
    <row r="6" spans="1:11" x14ac:dyDescent="0.25">
      <c r="A6" s="5" t="s">
        <v>9</v>
      </c>
      <c r="B6" s="6">
        <v>19.64</v>
      </c>
      <c r="C6" s="6">
        <v>29.9</v>
      </c>
      <c r="D6" s="3">
        <f>C6-B6</f>
        <v>10.259999999999998</v>
      </c>
      <c r="E6" s="2">
        <f>(C6-B6)/C6</f>
        <v>0.34314381270903005</v>
      </c>
      <c r="F6" s="6" cm="1">
        <f t="array" ref="F6">_xlfn.IFS(K6 = "Vermelho", B6/(1-0.6), K6 = "Amarelo", B6/(1-0.7), TRUE, C6)</f>
        <v>49.1</v>
      </c>
      <c r="G6" s="10">
        <f t="shared" si="1"/>
        <v>0.6</v>
      </c>
      <c r="H6" s="6">
        <f t="shared" si="2"/>
        <v>29.46</v>
      </c>
      <c r="I6" s="10">
        <f t="shared" si="3"/>
        <v>1.8713450292397666</v>
      </c>
      <c r="J6" s="10">
        <f t="shared" si="4"/>
        <v>0.74853801169590661</v>
      </c>
      <c r="K6" s="9" t="str" cm="1">
        <f t="array" ref="K6">_xlfn.IFS(E6&lt;0.4,"Vermelho",E6&lt;0.6,"Amarelo",TRUE,"Verde")</f>
        <v>Vermelho</v>
      </c>
    </row>
    <row r="7" spans="1:11" x14ac:dyDescent="0.25">
      <c r="A7" s="5" t="s">
        <v>10</v>
      </c>
      <c r="B7" s="6">
        <v>9.4</v>
      </c>
      <c r="C7" s="6">
        <v>29.9</v>
      </c>
      <c r="D7" s="3">
        <f>C7-B7</f>
        <v>20.5</v>
      </c>
      <c r="E7" s="2">
        <f>(C7-B7)/C7</f>
        <v>0.68561872909698995</v>
      </c>
      <c r="F7" s="6" cm="1">
        <f t="array" ref="F7">_xlfn.IFS(K7 = "Vermelho", B7/(1-0.6), K7 = "Amarelo", B7/(1-0.7), TRUE, C7)</f>
        <v>29.9</v>
      </c>
      <c r="G7" s="10">
        <f>(F7-B7)/F7</f>
        <v>0.68561872909698995</v>
      </c>
      <c r="H7" s="6">
        <f t="shared" si="2"/>
        <v>20.5</v>
      </c>
      <c r="I7" s="10">
        <f t="shared" si="3"/>
        <v>0</v>
      </c>
      <c r="J7" s="10">
        <f t="shared" si="4"/>
        <v>0</v>
      </c>
      <c r="K7" s="9" t="str" cm="1">
        <f t="array" ref="K7">_xlfn.IFS(E7&lt;0.4,"Vermelho",E7&lt;0.6,"Amarelo",TRUE,"Verde")</f>
        <v>Verde</v>
      </c>
    </row>
    <row r="8" spans="1:11" x14ac:dyDescent="0.25">
      <c r="A8" s="5" t="s">
        <v>11</v>
      </c>
      <c r="B8" s="6">
        <v>14.9</v>
      </c>
      <c r="C8" s="6">
        <v>36.9</v>
      </c>
      <c r="D8" s="3">
        <f>C8-B8</f>
        <v>22</v>
      </c>
      <c r="E8" s="2">
        <f>(C8-B8)/C8</f>
        <v>0.59620596205962062</v>
      </c>
      <c r="F8" s="6" cm="1">
        <f t="array" ref="F8">_xlfn.IFS(K8 = "Vermelho", B8/(1-0.6), K8 = "Amarelo", B8/(1-0.7), TRUE, C8)</f>
        <v>49.666666666666657</v>
      </c>
      <c r="G8" s="10">
        <f t="shared" si="1"/>
        <v>0.7</v>
      </c>
      <c r="H8" s="6">
        <f t="shared" si="2"/>
        <v>34.766666666666659</v>
      </c>
      <c r="I8" s="10">
        <f t="shared" si="3"/>
        <v>0.58030303030302999</v>
      </c>
      <c r="J8" s="10">
        <f t="shared" si="4"/>
        <v>0.17409090909090896</v>
      </c>
      <c r="K8" s="9" t="str" cm="1">
        <f t="array" ref="K8">_xlfn.IFS(E8&lt;0.4,"Vermelho",E8&lt;0.6,"Amarelo",TRUE,"Verde")</f>
        <v>Amarelo</v>
      </c>
    </row>
    <row r="9" spans="1:11" x14ac:dyDescent="0.25">
      <c r="A9" s="5" t="s">
        <v>12</v>
      </c>
      <c r="B9" s="6">
        <v>30.41</v>
      </c>
      <c r="C9" s="6">
        <v>58</v>
      </c>
      <c r="D9" s="3">
        <f>C9-B9</f>
        <v>27.59</v>
      </c>
      <c r="E9" s="2">
        <f>(C9-B9)/C9</f>
        <v>0.47568965517241379</v>
      </c>
      <c r="F9" s="6" cm="1">
        <f t="array" ref="F9">_xlfn.IFS(K9 = "Vermelho", B9/(1-0.6), K9 = "Amarelo", B9/(1-0.7), TRUE, C9)</f>
        <v>101.36666666666665</v>
      </c>
      <c r="G9" s="10">
        <f t="shared" si="1"/>
        <v>0.7</v>
      </c>
      <c r="H9" s="6">
        <f t="shared" si="2"/>
        <v>70.956666666666649</v>
      </c>
      <c r="I9" s="10">
        <f t="shared" si="3"/>
        <v>1.5718255406548258</v>
      </c>
      <c r="J9" s="10">
        <f t="shared" si="4"/>
        <v>0.47154766219644789</v>
      </c>
      <c r="K9" s="9" t="str" cm="1">
        <f t="array" ref="K9">_xlfn.IFS(E9&lt;0.4,"Vermelho",E9&lt;0.6,"Amarelo",TRUE,"Verde")</f>
        <v>Amarelo</v>
      </c>
    </row>
    <row r="10" spans="1:11" x14ac:dyDescent="0.25">
      <c r="A10" s="5" t="s">
        <v>13</v>
      </c>
      <c r="B10" s="6">
        <v>3.19</v>
      </c>
      <c r="C10" s="6">
        <v>12</v>
      </c>
      <c r="D10" s="3">
        <f>C10-B10</f>
        <v>8.81</v>
      </c>
      <c r="E10" s="2">
        <f>(C10-B10)/C10</f>
        <v>0.73416666666666675</v>
      </c>
      <c r="F10" s="6" cm="1">
        <f t="array" ref="F10">_xlfn.IFS(K10 = "Vermelho", B10/(1-0.6), K10 = "Amarelo", B10/(1-0.7), TRUE, C10)</f>
        <v>12</v>
      </c>
      <c r="G10" s="10">
        <f t="shared" si="1"/>
        <v>0.73416666666666675</v>
      </c>
      <c r="H10" s="6">
        <f t="shared" si="2"/>
        <v>8.81</v>
      </c>
      <c r="I10" s="10">
        <f t="shared" si="3"/>
        <v>0</v>
      </c>
      <c r="J10" s="10">
        <f t="shared" si="4"/>
        <v>0</v>
      </c>
      <c r="K10" s="9" t="str" cm="1">
        <f t="array" ref="K10">_xlfn.IFS(E10&lt;0.4,"Vermelho",E10&lt;0.6,"Amarelo",TRUE,"Verde")</f>
        <v>Verde</v>
      </c>
    </row>
    <row r="11" spans="1:11" ht="14.25" customHeight="1" x14ac:dyDescent="0.25">
      <c r="A11" s="5" t="s">
        <v>14</v>
      </c>
      <c r="B11" s="6">
        <v>1.75</v>
      </c>
      <c r="C11" s="6">
        <v>10</v>
      </c>
      <c r="D11" s="3">
        <f>C11-B11</f>
        <v>8.25</v>
      </c>
      <c r="E11" s="2">
        <f>(C11-B11)/C11</f>
        <v>0.82499999999999996</v>
      </c>
      <c r="F11" s="6" cm="1">
        <f t="array" ref="F11">_xlfn.IFS(K11 = "Vermelho", B11/(1-0.6), K11 = "Amarelo", B11/(1-0.7), TRUE, C11)</f>
        <v>10</v>
      </c>
      <c r="G11" s="10">
        <f t="shared" si="1"/>
        <v>0.82499999999999996</v>
      </c>
      <c r="H11" s="6">
        <f t="shared" si="2"/>
        <v>8.25</v>
      </c>
      <c r="I11" s="10">
        <f t="shared" si="3"/>
        <v>0</v>
      </c>
      <c r="J11" s="10">
        <f t="shared" si="4"/>
        <v>0</v>
      </c>
      <c r="K11" s="9" t="str" cm="1">
        <f t="array" ref="K11">_xlfn.IFS(E11&lt;0.4,"Vermelho",E11&lt;0.6,"Amarelo",TRUE,"Verde")</f>
        <v>Verde</v>
      </c>
    </row>
    <row r="12" spans="1:11" x14ac:dyDescent="0.25">
      <c r="A12" s="5" t="s">
        <v>16</v>
      </c>
      <c r="B12" s="6">
        <v>9.68</v>
      </c>
      <c r="C12" s="6">
        <v>35</v>
      </c>
      <c r="D12" s="3">
        <f>C12-B12</f>
        <v>25.32</v>
      </c>
      <c r="E12" s="2">
        <f>(C12-B12)/C12</f>
        <v>0.72342857142857142</v>
      </c>
      <c r="F12" s="6" cm="1">
        <f t="array" ref="F12">_xlfn.IFS(K12 = "Vermelho", B12/(1-0.6), K12 = "Amarelo", B12/(1-0.7), TRUE, C12)</f>
        <v>35</v>
      </c>
      <c r="G12" s="10">
        <f t="shared" si="1"/>
        <v>0.72342857142857142</v>
      </c>
      <c r="H12" s="6">
        <f t="shared" si="2"/>
        <v>25.32</v>
      </c>
      <c r="I12" s="10">
        <f t="shared" si="3"/>
        <v>0</v>
      </c>
      <c r="J12" s="10">
        <f t="shared" si="4"/>
        <v>0</v>
      </c>
      <c r="K12" s="9" t="str" cm="1">
        <f t="array" ref="K12">_xlfn.IFS(E12&lt;0.4,"Vermelho",E12&lt;0.6,"Amarelo",TRUE,"Verde")</f>
        <v>Verde</v>
      </c>
    </row>
    <row r="17" spans="2:2" x14ac:dyDescent="0.25">
      <c r="B17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8C15-E988-4AD4-B577-D382B05B5D3D}">
  <dimension ref="A1:K12"/>
  <sheetViews>
    <sheetView showGridLines="0" tabSelected="1" zoomScale="85" zoomScaleNormal="85" workbookViewId="0">
      <selection activeCell="L12" sqref="L12:L13"/>
    </sheetView>
  </sheetViews>
  <sheetFormatPr defaultRowHeight="15" x14ac:dyDescent="0.25"/>
  <cols>
    <col min="1" max="1" width="38" bestFit="1" customWidth="1"/>
    <col min="2" max="2" width="8.140625" hidden="1" customWidth="1"/>
    <col min="3" max="3" width="12.5703125" customWidth="1"/>
    <col min="4" max="4" width="10.85546875" hidden="1" customWidth="1"/>
    <col min="5" max="5" width="10.140625" style="1" hidden="1" customWidth="1"/>
    <col min="6" max="6" width="19.28515625" customWidth="1"/>
    <col min="7" max="7" width="15.140625" style="7" hidden="1" customWidth="1"/>
    <col min="8" max="8" width="17.5703125" style="1" hidden="1" customWidth="1"/>
    <col min="9" max="9" width="3.140625" hidden="1" customWidth="1"/>
    <col min="10" max="10" width="21.28515625" hidden="1" customWidth="1"/>
    <col min="11" max="11" width="16.42578125" hidden="1" customWidth="1"/>
  </cols>
  <sheetData>
    <row r="1" spans="1:11" x14ac:dyDescent="0.25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17</v>
      </c>
      <c r="G1" s="7" t="s">
        <v>18</v>
      </c>
      <c r="H1" s="7" t="s">
        <v>22</v>
      </c>
      <c r="I1" s="1" t="s">
        <v>23</v>
      </c>
      <c r="J1" s="7" t="s">
        <v>24</v>
      </c>
      <c r="K1" s="7" t="s">
        <v>15</v>
      </c>
    </row>
    <row r="2" spans="1:11" x14ac:dyDescent="0.25">
      <c r="A2" t="s">
        <v>5</v>
      </c>
      <c r="B2" s="4">
        <v>4.63</v>
      </c>
      <c r="C2" s="4">
        <v>19</v>
      </c>
      <c r="D2" s="4">
        <v>14.370000000000001</v>
      </c>
      <c r="E2" s="10">
        <v>0.75631578947368427</v>
      </c>
      <c r="F2" s="8">
        <v>19</v>
      </c>
      <c r="G2" s="11">
        <v>0.75631578947368427</v>
      </c>
      <c r="H2" s="12">
        <v>14.370000000000001</v>
      </c>
      <c r="I2" s="11">
        <v>0</v>
      </c>
      <c r="J2" s="12">
        <f>(H2-D2)</f>
        <v>0</v>
      </c>
      <c r="K2" s="11" t="s">
        <v>19</v>
      </c>
    </row>
    <row r="3" spans="1:11" x14ac:dyDescent="0.25">
      <c r="A3" t="s">
        <v>6</v>
      </c>
      <c r="B3" s="4">
        <v>29.45</v>
      </c>
      <c r="C3" s="4">
        <v>40</v>
      </c>
      <c r="D3" s="4">
        <v>10.55</v>
      </c>
      <c r="E3" s="10">
        <v>0.26375000000000004</v>
      </c>
      <c r="F3" s="8">
        <v>59.9</v>
      </c>
      <c r="G3" s="11">
        <v>0.50834724540901499</v>
      </c>
      <c r="H3" s="12">
        <v>30.45</v>
      </c>
      <c r="I3" s="11">
        <v>1.8862559241706158</v>
      </c>
      <c r="J3" s="12">
        <f t="shared" ref="J3:J12" si="0">(H3-D3)</f>
        <v>19.899999999999999</v>
      </c>
      <c r="K3" s="11" t="s">
        <v>20</v>
      </c>
    </row>
    <row r="4" spans="1:11" x14ac:dyDescent="0.25">
      <c r="A4" t="s">
        <v>7</v>
      </c>
      <c r="B4" s="4">
        <v>19.53</v>
      </c>
      <c r="C4" s="4">
        <v>45</v>
      </c>
      <c r="D4" s="4">
        <v>25.47</v>
      </c>
      <c r="E4" s="10">
        <v>0.56599999999999995</v>
      </c>
      <c r="F4" s="8">
        <v>59.9</v>
      </c>
      <c r="G4" s="11">
        <v>0.67395659432387311</v>
      </c>
      <c r="H4" s="12">
        <v>40.369999999999997</v>
      </c>
      <c r="I4" s="11">
        <v>0.5850019630938359</v>
      </c>
      <c r="J4" s="12">
        <f t="shared" si="0"/>
        <v>14.899999999999999</v>
      </c>
      <c r="K4" s="11" t="s">
        <v>21</v>
      </c>
    </row>
    <row r="5" spans="1:11" x14ac:dyDescent="0.25">
      <c r="A5" t="s">
        <v>8</v>
      </c>
      <c r="B5" s="4">
        <v>15.16</v>
      </c>
      <c r="C5" s="4">
        <v>29.9</v>
      </c>
      <c r="D5" s="4">
        <v>14.739999999999998</v>
      </c>
      <c r="E5" s="10">
        <v>0.49297658862876254</v>
      </c>
      <c r="F5" s="8">
        <v>35.9</v>
      </c>
      <c r="G5" s="11">
        <v>0.57771587743732589</v>
      </c>
      <c r="H5" s="12">
        <v>20.74</v>
      </c>
      <c r="I5" s="11">
        <v>0.40705563093622799</v>
      </c>
      <c r="J5" s="12">
        <f t="shared" si="0"/>
        <v>6</v>
      </c>
      <c r="K5" s="11" t="s">
        <v>21</v>
      </c>
    </row>
    <row r="6" spans="1:11" x14ac:dyDescent="0.25">
      <c r="A6" t="s">
        <v>9</v>
      </c>
      <c r="B6" s="4">
        <v>19.64</v>
      </c>
      <c r="C6" s="4">
        <v>29.9</v>
      </c>
      <c r="D6" s="4">
        <v>10.259999999999998</v>
      </c>
      <c r="E6" s="10">
        <v>0.34314381270903005</v>
      </c>
      <c r="F6" s="8">
        <v>49.9</v>
      </c>
      <c r="G6" s="11">
        <v>0.60641282565130261</v>
      </c>
      <c r="H6" s="12">
        <v>30.259999999999998</v>
      </c>
      <c r="I6" s="11">
        <v>1.9493177387914233</v>
      </c>
      <c r="J6" s="12">
        <f t="shared" si="0"/>
        <v>20</v>
      </c>
      <c r="K6" s="11" t="s">
        <v>20</v>
      </c>
    </row>
    <row r="7" spans="1:11" x14ac:dyDescent="0.25">
      <c r="A7" t="s">
        <v>10</v>
      </c>
      <c r="B7" s="4">
        <v>9.4</v>
      </c>
      <c r="C7" s="4">
        <v>29.9</v>
      </c>
      <c r="D7" s="4">
        <v>20.5</v>
      </c>
      <c r="E7" s="10">
        <v>0.68561872909698995</v>
      </c>
      <c r="F7" s="8">
        <v>33.9</v>
      </c>
      <c r="G7" s="11">
        <v>0.72271386430678464</v>
      </c>
      <c r="H7" s="12">
        <v>24.5</v>
      </c>
      <c r="I7" s="11">
        <v>0.1951219512195122</v>
      </c>
      <c r="J7" s="12">
        <f t="shared" si="0"/>
        <v>4</v>
      </c>
      <c r="K7" s="11" t="s">
        <v>19</v>
      </c>
    </row>
    <row r="8" spans="1:11" x14ac:dyDescent="0.25">
      <c r="A8" t="s">
        <v>11</v>
      </c>
      <c r="B8" s="4">
        <v>14.9</v>
      </c>
      <c r="C8" s="4">
        <v>36.9</v>
      </c>
      <c r="D8" s="4">
        <v>22</v>
      </c>
      <c r="E8" s="10">
        <v>0.59620596205962062</v>
      </c>
      <c r="F8" s="8">
        <v>36.9</v>
      </c>
      <c r="G8" s="11">
        <v>0.59620596205962062</v>
      </c>
      <c r="H8" s="12">
        <v>22</v>
      </c>
      <c r="I8" s="11">
        <v>0</v>
      </c>
      <c r="J8" s="12">
        <f t="shared" si="0"/>
        <v>0</v>
      </c>
      <c r="K8" s="11" t="s">
        <v>21</v>
      </c>
    </row>
    <row r="9" spans="1:11" x14ac:dyDescent="0.25">
      <c r="A9" t="s">
        <v>12</v>
      </c>
      <c r="B9" s="4">
        <v>30.41</v>
      </c>
      <c r="C9" s="4">
        <v>58</v>
      </c>
      <c r="D9" s="4">
        <v>27.59</v>
      </c>
      <c r="E9" s="10">
        <v>0.47568965517241379</v>
      </c>
      <c r="F9" s="8">
        <v>59.9</v>
      </c>
      <c r="G9" s="11">
        <v>0.49232053422370614</v>
      </c>
      <c r="H9" s="12">
        <v>29.49</v>
      </c>
      <c r="I9" s="11">
        <v>6.8865530989488888E-2</v>
      </c>
      <c r="J9" s="12">
        <f t="shared" si="0"/>
        <v>1.8999999999999986</v>
      </c>
      <c r="K9" s="11" t="s">
        <v>21</v>
      </c>
    </row>
    <row r="10" spans="1:11" x14ac:dyDescent="0.25">
      <c r="A10" t="s">
        <v>13</v>
      </c>
      <c r="B10" s="4">
        <v>3.19</v>
      </c>
      <c r="C10" s="4">
        <v>12</v>
      </c>
      <c r="D10" s="4">
        <v>8.81</v>
      </c>
      <c r="E10" s="10">
        <v>0.73416666666666675</v>
      </c>
      <c r="F10" s="8">
        <v>12</v>
      </c>
      <c r="G10" s="11">
        <v>0.73416666666666675</v>
      </c>
      <c r="H10" s="12">
        <v>8.81</v>
      </c>
      <c r="I10" s="11">
        <v>0</v>
      </c>
      <c r="J10" s="12">
        <f t="shared" si="0"/>
        <v>0</v>
      </c>
      <c r="K10" s="11" t="s">
        <v>19</v>
      </c>
    </row>
    <row r="11" spans="1:11" x14ac:dyDescent="0.25">
      <c r="A11" t="s">
        <v>14</v>
      </c>
      <c r="B11" s="4">
        <v>1.75</v>
      </c>
      <c r="C11" s="4">
        <v>10</v>
      </c>
      <c r="D11" s="4">
        <v>8.25</v>
      </c>
      <c r="E11" s="10">
        <v>0.82499999999999996</v>
      </c>
      <c r="F11" s="8">
        <v>10</v>
      </c>
      <c r="G11" s="11">
        <v>0.82499999999999996</v>
      </c>
      <c r="H11" s="12">
        <v>8.25</v>
      </c>
      <c r="I11" s="11">
        <v>0</v>
      </c>
      <c r="J11" s="12">
        <f t="shared" si="0"/>
        <v>0</v>
      </c>
      <c r="K11" s="11" t="s">
        <v>19</v>
      </c>
    </row>
    <row r="12" spans="1:11" x14ac:dyDescent="0.25">
      <c r="A12" t="s">
        <v>16</v>
      </c>
      <c r="B12" s="4">
        <v>9.68</v>
      </c>
      <c r="C12" s="4">
        <v>35</v>
      </c>
      <c r="D12" s="4">
        <v>25.32</v>
      </c>
      <c r="E12" s="10">
        <v>0.72342857142857142</v>
      </c>
      <c r="F12" s="8">
        <v>35</v>
      </c>
      <c r="G12" s="11">
        <v>0.72342857142857142</v>
      </c>
      <c r="H12" s="12">
        <v>25.32</v>
      </c>
      <c r="I12" s="11">
        <v>0</v>
      </c>
      <c r="J12" s="12">
        <f t="shared" si="0"/>
        <v>0</v>
      </c>
      <c r="K12" s="1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</vt:lpstr>
      <vt:lpstr>Analise Precificação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martins</dc:creator>
  <cp:lastModifiedBy>vinicius martins</cp:lastModifiedBy>
  <dcterms:created xsi:type="dcterms:W3CDTF">2025-11-03T00:47:30Z</dcterms:created>
  <dcterms:modified xsi:type="dcterms:W3CDTF">2025-11-03T01:49:21Z</dcterms:modified>
</cp:coreProperties>
</file>